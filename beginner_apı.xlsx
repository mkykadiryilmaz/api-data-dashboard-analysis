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analysis" sheetId="2" r:id="rId6"/>
    <sheet state="visible" name="piv" sheetId="3" r:id="rId7"/>
    <sheet state="visible" name="dashboard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<sst xmlns="http://schemas.openxmlformats.org/spreadsheetml/2006/main" count="152" uniqueCount="69">
  <si>
    <t>Title</t>
  </si>
  <si>
    <t>Source</t>
  </si>
  <si>
    <t>PublishedAt</t>
  </si>
  <si>
    <t>URL</t>
  </si>
  <si>
    <t>Deepfake ‘Nudify’ Technology Is Getting Darker—and More Dangerous</t>
  </si>
  <si>
    <t>Wired</t>
  </si>
  <si>
    <t>2026-01-26T11:30:00Z</t>
  </si>
  <si>
    <t>https://www.wired.com/story/deepfake-nudify-technology-is-getting-darker-and-more-dangerous/</t>
  </si>
  <si>
    <t>The Shoes and Brooms Transforming Curling at the 2026 Winter Olympics</t>
  </si>
  <si>
    <t>2026-02-08T12:00:00Z</t>
  </si>
  <si>
    <t>https://www.wired.com/story/the-shoes-and-brooms-transforming-curling-at-the-2026-winter-olympics/</t>
  </si>
  <si>
    <t>Why Cops Frequently Got Caught Planting Drugs in 2017</t>
  </si>
  <si>
    <t>Gizmodo.com</t>
  </si>
  <si>
    <t>2026-02-05T21:10:32Z</t>
  </si>
  <si>
    <t>https://gizmodo.com/cops-planting-drugs-2010s-body-cameras-2000718559</t>
  </si>
  <si>
    <t>Grok’s Sexual Deepfakes Will Become Illegal in the UK This Week</t>
  </si>
  <si>
    <t>2026-01-12T21:55:54Z</t>
  </si>
  <si>
    <t>https://gizmodo.com/groks-sexual-deepfakes-will-become-illegal-in-the-uk-this-week-2000709212</t>
  </si>
  <si>
    <t>Palantir Touts $2 Billion in Revenue from Aiding Trump Administration’s ‘Unusual’ Operations</t>
  </si>
  <si>
    <t>2026-02-03T01:23:13Z</t>
  </si>
  <si>
    <t>https://gizmodo.com/palantir-touts-2-billion-in-revenue-from-aiding-trump-administrations-unusual-operations-2000717022</t>
  </si>
  <si>
    <t>Massive overhaul of England and Wales policing announced</t>
  </si>
  <si>
    <t>BBC News</t>
  </si>
  <si>
    <t>2026-01-26T17:08:14Z</t>
  </si>
  <si>
    <t>https://www.bbc.com/news/articles/cp37lryxq4eo</t>
  </si>
  <si>
    <t>This company could help bring Auracast to an iPhone near you</t>
  </si>
  <si>
    <t>The Verge</t>
  </si>
  <si>
    <t>2026-01-09T22:56:41Z</t>
  </si>
  <si>
    <t>https://www.theverge.com/tech/860010/atitan-bluetooth-auracast-transceiver-ces-2026</t>
  </si>
  <si>
    <t>Xreal sues Viture over AR glasses patent</t>
  </si>
  <si>
    <t>2026-01-15T15:52:55Z</t>
  </si>
  <si>
    <t>https://www.theverge.com/gadgets/862542/xreal-viture-smart-glasses-patent-suits</t>
  </si>
  <si>
    <t>Experian’s tech chief defends credit scores: ‘We’re not Palantir’</t>
  </si>
  <si>
    <t>2026-01-26T14:17:53Z</t>
  </si>
  <si>
    <t>https://www.theverge.com/podcast/866751/experian-ceo-alex-lintner-credit-scores-ai-privacy-interview</t>
  </si>
  <si>
    <t>NBC Sports’ new real-time player tracking lets viewers focus on their favorite athletes</t>
  </si>
  <si>
    <t>2026-01-14T14:45:05Z</t>
  </si>
  <si>
    <t>https://www.theverge.com/tech/861715/nbc-sports-nippon-television-ai-viztrick-aidi-player-tracking-mobile-viewing</t>
  </si>
  <si>
    <t>How Lego’s Smart Brick works</t>
  </si>
  <si>
    <t>2026-01-13T14:06:13Z</t>
  </si>
  <si>
    <t>https://www.theverge.com/podcast/861148/lego-smart-brick-claude-code-vergecast</t>
  </si>
  <si>
    <t>The crypto bill is falling apart in Congress</t>
  </si>
  <si>
    <t>2026-01-28T01:09:33Z</t>
  </si>
  <si>
    <t>https://www.theverge.com/column/868941/clarity-act-congress-shutdown</t>
  </si>
  <si>
    <t>Peloton lays off 11 percent of its staff just a few months after launching its AI hardware</t>
  </si>
  <si>
    <t>2026-01-30T23:53:55Z</t>
  </si>
  <si>
    <t>https://www.theverge.com/gadgets/871422/peloton-layoffs-cost-cutting-2026</t>
  </si>
  <si>
    <t>Millions of books died so Claude could live</t>
  </si>
  <si>
    <t>2026-02-03T15:19:28Z</t>
  </si>
  <si>
    <t>https://www.theverge.com/podcast/872998/anthropic-claude-books-netflix-theaters-vergecast</t>
  </si>
  <si>
    <t>Half of developers think gen AI is bad for the gaming industry</t>
  </si>
  <si>
    <t>2026-01-28T20:35:29Z</t>
  </si>
  <si>
    <t>https://www.theverge.com/entertainment/869386/ai-game-development-gdc-survey</t>
  </si>
  <si>
    <t>Apple’s second biggest acquisition ever is an AI company that listens to ‘silent speech’</t>
  </si>
  <si>
    <t>2026-01-29T19:22:27Z</t>
  </si>
  <si>
    <t>https://www.theverge.com/news/870353/apple-q-ai-acquisition-silent-speech</t>
  </si>
  <si>
    <t>The US claims it just strongarmed Taiwan into spending $250 billion on American chip manufacturing</t>
  </si>
  <si>
    <t>2026-01-15T21:12:18Z</t>
  </si>
  <si>
    <t>https://www.theverge.com/news/862938/us-taiwan-chipmaking-deal-250-billion-investment-tsmc</t>
  </si>
  <si>
    <t>Design Processes to Evolve with Emerging Technology</t>
  </si>
  <si>
    <t>Harvard Business Review</t>
  </si>
  <si>
    <t>2026-01-30T13:05:04Z</t>
  </si>
  <si>
    <t>https://hbr.org/2026/01/design-processes-to-evolve-with-emerging-technology</t>
  </si>
  <si>
    <t>How AI Companies Got Caught Up in US Military Efforts</t>
  </si>
  <si>
    <t>2026-01-14T12:00:00Z</t>
  </si>
  <si>
    <t>https://www.wired.com/story/book-excerpt-silicon-empires-nick-srnicek/</t>
  </si>
  <si>
    <t>Date</t>
  </si>
  <si>
    <t>COUNTA of Title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</si>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</sst>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Source vs News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piv!$A$2:$A$6</c:f>
            </c:strRef>
          </c:cat>
          <c:val>
            <c:numRef>
              <c:f>piv!$B$2:$B$6</c:f>
              <c:numCache/>
            </c:numRef>
          </c:val>
        </c:ser>
        <c:axId val="796695083"/>
        <c:axId val="676677925"/>
      </c:barChart>
      <c:catAx>
        <c:axId val="796695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677925"/>
      </c:catAx>
      <c:valAx>
        <c:axId val="6766779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6950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Date vs News Count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piv!$D$2:$D$13</c:f>
            </c:strRef>
          </c:cat>
          <c:val>
            <c:numRef>
              <c:f>piv!$E$2:$E$13</c:f>
              <c:numCache/>
            </c:numRef>
          </c:val>
          <c:smooth val="0"/>
        </c:ser>
        <c:axId val="689016003"/>
        <c:axId val="1345870574"/>
      </c:lineChart>
      <c:catAx>
        <c:axId val="689016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870574"/>
      </c:catAx>
      <c:valAx>
        <c:axId val="1345870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016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2E9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371475</xdr:colOff>
      <xdr:row>0</xdr:row>
      <xdr:rowOff>190500</xdr:rowOff>
    </xdr:from>
    <xdr:ext cx="59912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0" sheet="analysis"/>
  </cacheSource>
  <cacheFields>
    <cacheField name="Date" numFmtId="164">
      <sharedItems containsDate="1" containsString="0" containsBlank="1">
        <d v="2026-01-26T00:00:00Z"/>
        <d v="2026-02-08T00:00:00Z"/>
        <d v="2026-02-05T00:00:00Z"/>
        <d v="2026-01-12T00:00:00Z"/>
        <d v="2026-02-03T00:00:00Z"/>
        <d v="2026-01-09T00:00:00Z"/>
        <d v="2026-01-15T00:00:00Z"/>
        <d v="2026-01-14T00:00:00Z"/>
        <d v="2026-01-13T00:00:00Z"/>
        <d v="2026-01-28T00:00:00Z"/>
        <d v="2026-01-30T00:00:00Z"/>
        <d v="2026-01-29T00:00:00Z"/>
        <m/>
      </sharedItems>
    </cacheField>
    <cacheField name="Title" numFmtId="0">
      <sharedItems containsBlank="1">
        <s v="Deepfake ‘Nudify’ Technology Is Getting Darker—and More Dangerous"/>
        <s v="The Shoes and Brooms Transforming Curling at the 2026 Winter Olympics"/>
        <s v="Why Cops Frequently Got Caught Planting Drugs in 2017"/>
        <s v="Grok’s Sexual Deepfakes Will Become Illegal in the UK This Week"/>
        <s v="Palantir Touts $2 Billion in Revenue from Aiding Trump Administration’s ‘Unusual’ Operations"/>
        <s v="Massive overhaul of England and Wales policing announced"/>
        <s v="This company could help bring Auracast to an iPhone near you"/>
        <s v="Xreal sues Viture over AR glasses patent"/>
        <s v="Experian’s tech chief defends credit scores: ‘We’re not Palantir’"/>
        <s v="NBC Sports’ new real-time player tracking lets viewers focus on their favorite athletes"/>
        <s v="How Lego’s Smart Brick works"/>
        <s v="The crypto bill is falling apart in Congress"/>
        <s v="Peloton lays off 11 percent of its staff just a few months after launching its AI hardware"/>
        <s v="Millions of books died so Claude could live"/>
        <s v="Half of developers think gen AI is bad for the gaming industry"/>
        <s v="Apple’s second biggest acquisition ever is an AI company that listens to ‘silent speech’"/>
        <s v="The US claims it just strongarmed Taiwan into spending $250 billion on American chip manufacturing"/>
        <s v="Design Processes to Evolve with Emerging Technology"/>
        <s v="How AI Companies Got Caught Up in US Military Efforts"/>
        <m/>
      </sharedItems>
    </cacheField>
    <cacheField name="Source" numFmtId="0">
      <sharedItems containsBlank="1">
        <s v="Wired"/>
        <s v="Gizmodo.com"/>
        <s v="BBC News"/>
        <s v="The Verge"/>
        <s v="Harvard Business Review"/>
        <m/>
      </sharedItems>
    </cacheField>
    <cacheField name="URL" numFmtId="0">
      <sharedItems containsBlank="1">
        <s v="https://www.wired.com/story/deepfake-nudify-technology-is-getting-darker-and-more-dangerous/"/>
        <s v="https://www.wired.com/story/the-shoes-and-brooms-transforming-curling-at-the-2026-winter-olympics/"/>
        <s v="https://gizmodo.com/cops-planting-drugs-2010s-body-cameras-2000718559"/>
        <s v="https://gizmodo.com/groks-sexual-deepfakes-will-become-illegal-in-the-uk-this-week-2000709212"/>
        <s v="https://gizmodo.com/palantir-touts-2-billion-in-revenue-from-aiding-trump-administrations-unusual-operations-2000717022"/>
        <s v="https://www.bbc.com/news/articles/cp37lryxq4eo"/>
        <s v="https://www.theverge.com/tech/860010/atitan-bluetooth-auracast-transceiver-ces-2026"/>
        <s v="https://www.theverge.com/gadgets/862542/xreal-viture-smart-glasses-patent-suits"/>
        <s v="https://www.theverge.com/podcast/866751/experian-ceo-alex-lintner-credit-scores-ai-privacy-interview"/>
        <s v="https://www.theverge.com/tech/861715/nbc-sports-nippon-television-ai-viztrick-aidi-player-tracking-mobile-viewing"/>
        <s v="https://www.theverge.com/podcast/861148/lego-smart-brick-claude-code-vergecast"/>
        <s v="https://www.theverge.com/column/868941/clarity-act-congress-shutdown"/>
        <s v="https://www.theverge.com/gadgets/871422/peloton-layoffs-cost-cutting-2026"/>
        <s v="https://www.theverge.com/podcast/872998/anthropic-claude-books-netflix-theaters-vergecast"/>
        <s v="https://www.theverge.com/entertainment/869386/ai-game-development-gdc-survey"/>
        <s v="https://www.theverge.com/news/870353/apple-q-ai-acquisition-silent-speech"/>
        <s v="https://www.theverge.com/news/862938/us-taiwan-chipmaking-deal-250-billion-investment-tsmc"/>
        <s v="https://hbr.org/2026/01/design-processes-to-evolve-with-emerging-technology"/>
        <s v="https://www.wired.com/story/book-excerpt-silicon-empires-nick-srnicek/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" cacheId="0" dataCaption="" compact="0" compactData="0">
  <location ref="A1:B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ource" axis="axisRow" compact="0" outline="0" multipleItemSelectionAllowed="1" showAll="0" sortType="ascending">
      <items>
        <item h="1" x="5"/>
        <item x="2"/>
        <item x="1"/>
        <item x="4"/>
        <item x="3"/>
        <item x="0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"/>
  </rowFields>
  <dataFields>
    <dataField name="COUNTA of Title" fld="1" subtotal="count" baseField="0"/>
  </dataFields>
</pivotTableDefinition>
</file>

<file path=xl/pivotTables/pivotTable2.xml><?xml version="1.0" encoding="utf-8"?>
<pivotTableDefinition xmlns="http://schemas.openxmlformats.org/spreadsheetml/2006/main" name="piv 2" cacheId="0" dataCaption="" compact="0" compactData="0">
  <location ref="D1:E14" firstHeaderRow="0" firstDataRow="1" firstDataCol="0"/>
  <pivotFields>
    <pivotField name="Date" axis="axisRow" compact="0" numFmtId="164" outline="0" multipleItemSelectionAllowed="1" showAll="0" sortType="ascending">
      <items>
        <item h="1" x="12"/>
        <item x="5"/>
        <item x="3"/>
        <item x="8"/>
        <item x="7"/>
        <item x="6"/>
        <item x="0"/>
        <item x="9"/>
        <item x="11"/>
        <item x="10"/>
        <item x="4"/>
        <item x="2"/>
        <item x="1"/>
        <item t="default"/>
      </items>
    </pivotField>
    <pivotField name="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  <dataFields>
    <dataField name="COUNTA of Title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everge.com/news/862938/us-taiwan-chipmaking-deal-250-billion-investment-tsmc" TargetMode="External"/><Relationship Id="rId11" Type="http://schemas.openxmlformats.org/officeDocument/2006/relationships/hyperlink" Target="https://www.theverge.com/gadgets/862542/xreal-viture-smart-glasses-patent-suits" TargetMode="External"/><Relationship Id="rId22" Type="http://schemas.openxmlformats.org/officeDocument/2006/relationships/hyperlink" Target="https://www.wired.com/story/book-excerpt-silicon-empires-nick-srnicek/" TargetMode="External"/><Relationship Id="rId10" Type="http://schemas.openxmlformats.org/officeDocument/2006/relationships/hyperlink" Target="https://www.theverge.com/tech/860010/atitan-bluetooth-auracast-transceiver-ces-2026" TargetMode="External"/><Relationship Id="rId21" Type="http://schemas.openxmlformats.org/officeDocument/2006/relationships/hyperlink" Target="https://hbr.org/2026/01/design-processes-to-evolve-with-emerging-technology" TargetMode="External"/><Relationship Id="rId13" Type="http://schemas.openxmlformats.org/officeDocument/2006/relationships/hyperlink" Target="https://www.theverge.com/tech/861715/nbc-sports-nippon-television-ai-viztrick-aidi-player-tracking-mobile-viewing" TargetMode="External"/><Relationship Id="rId12" Type="http://schemas.openxmlformats.org/officeDocument/2006/relationships/hyperlink" Target="https://www.theverge.com/podcast/866751/experian-ceo-alex-lintner-credit-scores-ai-privacy-interview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wired.com/story/deepfake-nudify-technology-is-getting-darker-and-more-dangerous/" TargetMode="External"/><Relationship Id="rId2" Type="http://schemas.openxmlformats.org/officeDocument/2006/relationships/hyperlink" Target="https://www.wired.com/story/the-shoes-and-brooms-transforming-curling-at-the-2026-winter-olympics/" TargetMode="External"/><Relationship Id="rId3" Type="http://schemas.openxmlformats.org/officeDocument/2006/relationships/hyperlink" Target="http://gizmodo.com" TargetMode="External"/><Relationship Id="rId4" Type="http://schemas.openxmlformats.org/officeDocument/2006/relationships/hyperlink" Target="https://gizmodo.com/cops-planting-drugs-2010s-body-cameras-2000718559" TargetMode="External"/><Relationship Id="rId9" Type="http://schemas.openxmlformats.org/officeDocument/2006/relationships/hyperlink" Target="https://www.bbc.com/news/articles/cp37lryxq4eo" TargetMode="External"/><Relationship Id="rId15" Type="http://schemas.openxmlformats.org/officeDocument/2006/relationships/hyperlink" Target="https://www.theverge.com/column/868941/clarity-act-congress-shutdown" TargetMode="External"/><Relationship Id="rId14" Type="http://schemas.openxmlformats.org/officeDocument/2006/relationships/hyperlink" Target="https://www.theverge.com/podcast/861148/lego-smart-brick-claude-code-vergecast" TargetMode="External"/><Relationship Id="rId17" Type="http://schemas.openxmlformats.org/officeDocument/2006/relationships/hyperlink" Target="https://www.theverge.com/podcast/872998/anthropic-claude-books-netflix-theaters-vergecast" TargetMode="External"/><Relationship Id="rId16" Type="http://schemas.openxmlformats.org/officeDocument/2006/relationships/hyperlink" Target="https://www.theverge.com/gadgets/871422/peloton-layoffs-cost-cutting-2026" TargetMode="External"/><Relationship Id="rId5" Type="http://schemas.openxmlformats.org/officeDocument/2006/relationships/hyperlink" Target="http://gizmodo.com" TargetMode="External"/><Relationship Id="rId19" Type="http://schemas.openxmlformats.org/officeDocument/2006/relationships/hyperlink" Target="https://www.theverge.com/news/870353/apple-q-ai-acquisition-silent-speech" TargetMode="External"/><Relationship Id="rId6" Type="http://schemas.openxmlformats.org/officeDocument/2006/relationships/hyperlink" Target="https://gizmodo.com/groks-sexual-deepfakes-will-become-illegal-in-the-uk-this-week-2000709212" TargetMode="External"/><Relationship Id="rId18" Type="http://schemas.openxmlformats.org/officeDocument/2006/relationships/hyperlink" Target="https://www.theverge.com/entertainment/869386/ai-game-development-gdc-survey" TargetMode="External"/><Relationship Id="rId7" Type="http://schemas.openxmlformats.org/officeDocument/2006/relationships/hyperlink" Target="http://gizmodo.com" TargetMode="External"/><Relationship Id="rId8" Type="http://schemas.openxmlformats.org/officeDocument/2006/relationships/hyperlink" Target="https://gizmodo.com/palantir-touts-2-billion-in-revenue-from-aiding-trump-administrations-unusual-operations-200071702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hyperlink" Target="http://gizmodo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5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5</v>
      </c>
      <c r="C3" s="1" t="s">
        <v>9</v>
      </c>
      <c r="D3" s="2" t="s">
        <v>10</v>
      </c>
    </row>
    <row r="4">
      <c r="A4" s="1" t="s">
        <v>11</v>
      </c>
      <c r="B4" s="2" t="s">
        <v>12</v>
      </c>
      <c r="C4" s="1" t="s">
        <v>13</v>
      </c>
      <c r="D4" s="2" t="s">
        <v>14</v>
      </c>
    </row>
    <row r="5">
      <c r="A5" s="1" t="s">
        <v>15</v>
      </c>
      <c r="B5" s="2" t="s">
        <v>12</v>
      </c>
      <c r="C5" s="1" t="s">
        <v>16</v>
      </c>
      <c r="D5" s="2" t="s">
        <v>17</v>
      </c>
    </row>
    <row r="6">
      <c r="A6" s="1" t="s">
        <v>18</v>
      </c>
      <c r="B6" s="2" t="s">
        <v>12</v>
      </c>
      <c r="C6" s="1" t="s">
        <v>19</v>
      </c>
      <c r="D6" s="2" t="s">
        <v>20</v>
      </c>
    </row>
    <row r="7">
      <c r="A7" s="1" t="s">
        <v>21</v>
      </c>
      <c r="B7" s="1" t="s">
        <v>22</v>
      </c>
      <c r="C7" s="1" t="s">
        <v>23</v>
      </c>
      <c r="D7" s="2" t="s">
        <v>24</v>
      </c>
    </row>
    <row r="8">
      <c r="A8" s="1" t="s">
        <v>25</v>
      </c>
      <c r="B8" s="1" t="s">
        <v>26</v>
      </c>
      <c r="C8" s="1" t="s">
        <v>27</v>
      </c>
      <c r="D8" s="2" t="s">
        <v>28</v>
      </c>
    </row>
    <row r="9">
      <c r="A9" s="1" t="s">
        <v>29</v>
      </c>
      <c r="B9" s="1" t="s">
        <v>26</v>
      </c>
      <c r="C9" s="1" t="s">
        <v>30</v>
      </c>
      <c r="D9" s="2" t="s">
        <v>31</v>
      </c>
    </row>
    <row r="10">
      <c r="A10" s="1" t="s">
        <v>32</v>
      </c>
      <c r="B10" s="1" t="s">
        <v>26</v>
      </c>
      <c r="C10" s="1" t="s">
        <v>33</v>
      </c>
      <c r="D10" s="2" t="s">
        <v>34</v>
      </c>
    </row>
    <row r="11">
      <c r="A11" s="1" t="s">
        <v>35</v>
      </c>
      <c r="B11" s="1" t="s">
        <v>26</v>
      </c>
      <c r="C11" s="1" t="s">
        <v>36</v>
      </c>
      <c r="D11" s="2" t="s">
        <v>37</v>
      </c>
    </row>
    <row r="12">
      <c r="A12" s="1" t="s">
        <v>38</v>
      </c>
      <c r="B12" s="1" t="s">
        <v>26</v>
      </c>
      <c r="C12" s="1" t="s">
        <v>39</v>
      </c>
      <c r="D12" s="2" t="s">
        <v>40</v>
      </c>
    </row>
    <row r="13">
      <c r="A13" s="1" t="s">
        <v>41</v>
      </c>
      <c r="B13" s="1" t="s">
        <v>26</v>
      </c>
      <c r="C13" s="1" t="s">
        <v>42</v>
      </c>
      <c r="D13" s="2" t="s">
        <v>43</v>
      </c>
    </row>
    <row r="14">
      <c r="A14" s="1" t="s">
        <v>44</v>
      </c>
      <c r="B14" s="1" t="s">
        <v>26</v>
      </c>
      <c r="C14" s="1" t="s">
        <v>45</v>
      </c>
      <c r="D14" s="2" t="s">
        <v>46</v>
      </c>
    </row>
    <row r="15">
      <c r="A15" s="1" t="s">
        <v>47</v>
      </c>
      <c r="B15" s="1" t="s">
        <v>26</v>
      </c>
      <c r="C15" s="1" t="s">
        <v>48</v>
      </c>
      <c r="D15" s="2" t="s">
        <v>49</v>
      </c>
    </row>
    <row r="16">
      <c r="A16" s="1" t="s">
        <v>50</v>
      </c>
      <c r="B16" s="1" t="s">
        <v>26</v>
      </c>
      <c r="C16" s="1" t="s">
        <v>51</v>
      </c>
      <c r="D16" s="2" t="s">
        <v>52</v>
      </c>
    </row>
    <row r="17">
      <c r="A17" s="1" t="s">
        <v>53</v>
      </c>
      <c r="B17" s="1" t="s">
        <v>26</v>
      </c>
      <c r="C17" s="1" t="s">
        <v>54</v>
      </c>
      <c r="D17" s="2" t="s">
        <v>55</v>
      </c>
    </row>
    <row r="18">
      <c r="A18" s="1" t="s">
        <v>56</v>
      </c>
      <c r="B18" s="1" t="s">
        <v>26</v>
      </c>
      <c r="C18" s="1" t="s">
        <v>57</v>
      </c>
      <c r="D18" s="2" t="s">
        <v>58</v>
      </c>
    </row>
    <row r="19">
      <c r="A19" s="1" t="s">
        <v>59</v>
      </c>
      <c r="B19" s="1" t="s">
        <v>60</v>
      </c>
      <c r="C19" s="1" t="s">
        <v>61</v>
      </c>
      <c r="D19" s="2" t="s">
        <v>62</v>
      </c>
    </row>
    <row r="20">
      <c r="A20" s="1" t="s">
        <v>63</v>
      </c>
      <c r="B20" s="1" t="s">
        <v>5</v>
      </c>
      <c r="C20" s="1" t="s">
        <v>64</v>
      </c>
      <c r="D20" s="2" t="s">
        <v>65</v>
      </c>
    </row>
  </sheetData>
  <hyperlinks>
    <hyperlink r:id="rId1" ref="D2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D7"/>
    <hyperlink r:id="rId10" ref="D8"/>
    <hyperlink r:id="rId11" ref="D9"/>
    <hyperlink r:id="rId12" ref="D10"/>
    <hyperlink r:id="rId13" ref="D11"/>
    <hyperlink r:id="rId14" ref="D12"/>
    <hyperlink r:id="rId15" ref="D13"/>
    <hyperlink r:id="rId16" ref="D14"/>
    <hyperlink r:id="rId17" ref="D15"/>
    <hyperlink r:id="rId18" ref="D16"/>
    <hyperlink r:id="rId19" ref="D17"/>
    <hyperlink r:id="rId20" ref="D18"/>
    <hyperlink r:id="rId21" ref="D19"/>
    <hyperlink r:id="rId22" ref="D20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13"/>
  </cols>
  <sheetData>
    <row r="1">
      <c r="A1" s="1" t="s">
        <v>66</v>
      </c>
      <c r="B1" s="1" t="s">
        <v>0</v>
      </c>
      <c r="C1" s="1" t="s">
        <v>1</v>
      </c>
      <c r="D1" s="1" t="s">
        <v>3</v>
      </c>
    </row>
    <row r="2">
      <c r="A2" s="3">
        <f>DATEVALUE(LEFT(raw_data!C2,10))
</f>
        <v>46048</v>
      </c>
      <c r="B2" s="1" t="s">
        <v>4</v>
      </c>
      <c r="C2" s="1" t="s">
        <v>5</v>
      </c>
      <c r="D2" s="1" t="s">
        <v>7</v>
      </c>
    </row>
    <row r="3">
      <c r="A3" s="3">
        <f>DATEVALUE(LEFT(raw_data!C3,10))
</f>
        <v>46061</v>
      </c>
      <c r="B3" s="1" t="s">
        <v>8</v>
      </c>
      <c r="C3" s="1" t="s">
        <v>5</v>
      </c>
      <c r="D3" s="1" t="s">
        <v>10</v>
      </c>
    </row>
    <row r="4">
      <c r="A4" s="3">
        <f>DATEVALUE(LEFT(raw_data!C4,10))
</f>
        <v>46058</v>
      </c>
      <c r="B4" s="1" t="s">
        <v>11</v>
      </c>
      <c r="C4" s="1" t="s">
        <v>12</v>
      </c>
      <c r="D4" s="1" t="s">
        <v>14</v>
      </c>
    </row>
    <row r="5">
      <c r="A5" s="3">
        <f>DATEVALUE(LEFT(raw_data!C5,10))
</f>
        <v>46034</v>
      </c>
      <c r="B5" s="1" t="s">
        <v>15</v>
      </c>
      <c r="C5" s="1" t="s">
        <v>12</v>
      </c>
      <c r="D5" s="1" t="s">
        <v>17</v>
      </c>
    </row>
    <row r="6">
      <c r="A6" s="3">
        <f>DATEVALUE(LEFT(raw_data!C6,10))
</f>
        <v>46056</v>
      </c>
      <c r="B6" s="1" t="s">
        <v>18</v>
      </c>
      <c r="C6" s="1" t="s">
        <v>12</v>
      </c>
      <c r="D6" s="1" t="s">
        <v>20</v>
      </c>
    </row>
    <row r="7">
      <c r="A7" s="3">
        <f>DATEVALUE(LEFT(raw_data!C7,10))
</f>
        <v>46048</v>
      </c>
      <c r="B7" s="1" t="s">
        <v>21</v>
      </c>
      <c r="C7" s="1" t="s">
        <v>22</v>
      </c>
      <c r="D7" s="1" t="s">
        <v>24</v>
      </c>
    </row>
    <row r="8">
      <c r="A8" s="3">
        <f>DATEVALUE(LEFT(raw_data!C8,10))
</f>
        <v>46031</v>
      </c>
      <c r="B8" s="1" t="s">
        <v>25</v>
      </c>
      <c r="C8" s="1" t="s">
        <v>26</v>
      </c>
      <c r="D8" s="1" t="s">
        <v>28</v>
      </c>
    </row>
    <row r="9">
      <c r="A9" s="3">
        <f>DATEVALUE(LEFT(raw_data!C9,10))
</f>
        <v>46037</v>
      </c>
      <c r="B9" s="1" t="s">
        <v>29</v>
      </c>
      <c r="C9" s="1" t="s">
        <v>26</v>
      </c>
      <c r="D9" s="1" t="s">
        <v>31</v>
      </c>
    </row>
    <row r="10">
      <c r="A10" s="3">
        <f>DATEVALUE(LEFT(raw_data!C10,10))
</f>
        <v>46048</v>
      </c>
      <c r="B10" s="1" t="s">
        <v>32</v>
      </c>
      <c r="C10" s="1" t="s">
        <v>26</v>
      </c>
      <c r="D10" s="1" t="s">
        <v>34</v>
      </c>
    </row>
    <row r="11">
      <c r="A11" s="3">
        <f>DATEVALUE(LEFT(raw_data!C11,10))
</f>
        <v>46036</v>
      </c>
      <c r="B11" s="1" t="s">
        <v>35</v>
      </c>
      <c r="C11" s="1" t="s">
        <v>26</v>
      </c>
      <c r="D11" s="1" t="s">
        <v>37</v>
      </c>
    </row>
    <row r="12">
      <c r="A12" s="3">
        <f>DATEVALUE(LEFT(raw_data!C12,10))
</f>
        <v>46035</v>
      </c>
      <c r="B12" s="1" t="s">
        <v>38</v>
      </c>
      <c r="C12" s="1" t="s">
        <v>26</v>
      </c>
      <c r="D12" s="1" t="s">
        <v>40</v>
      </c>
    </row>
    <row r="13">
      <c r="A13" s="3">
        <f>DATEVALUE(LEFT(raw_data!C13,10))
</f>
        <v>46050</v>
      </c>
      <c r="B13" s="1" t="s">
        <v>41</v>
      </c>
      <c r="C13" s="1" t="s">
        <v>26</v>
      </c>
      <c r="D13" s="1" t="s">
        <v>43</v>
      </c>
    </row>
    <row r="14">
      <c r="A14" s="3">
        <f>DATEVALUE(LEFT(raw_data!C14,10))
</f>
        <v>46052</v>
      </c>
      <c r="B14" s="1" t="s">
        <v>44</v>
      </c>
      <c r="C14" s="1" t="s">
        <v>26</v>
      </c>
      <c r="D14" s="1" t="s">
        <v>46</v>
      </c>
    </row>
    <row r="15">
      <c r="A15" s="3">
        <f>DATEVALUE(LEFT(raw_data!C15,10))
</f>
        <v>46056</v>
      </c>
      <c r="B15" s="1" t="s">
        <v>47</v>
      </c>
      <c r="C15" s="1" t="s">
        <v>26</v>
      </c>
      <c r="D15" s="1" t="s">
        <v>49</v>
      </c>
    </row>
    <row r="16">
      <c r="A16" s="3">
        <f>DATEVALUE(LEFT(raw_data!C16,10))
</f>
        <v>46050</v>
      </c>
      <c r="B16" s="1" t="s">
        <v>50</v>
      </c>
      <c r="C16" s="1" t="s">
        <v>26</v>
      </c>
      <c r="D16" s="1" t="s">
        <v>52</v>
      </c>
    </row>
    <row r="17">
      <c r="A17" s="3">
        <f>DATEVALUE(LEFT(raw_data!C17,10))
</f>
        <v>46051</v>
      </c>
      <c r="B17" s="1" t="s">
        <v>53</v>
      </c>
      <c r="C17" s="1" t="s">
        <v>26</v>
      </c>
      <c r="D17" s="1" t="s">
        <v>55</v>
      </c>
    </row>
    <row r="18">
      <c r="A18" s="3">
        <f>DATEVALUE(LEFT(raw_data!C18,10))
</f>
        <v>46037</v>
      </c>
      <c r="B18" s="1" t="s">
        <v>56</v>
      </c>
      <c r="C18" s="1" t="s">
        <v>26</v>
      </c>
      <c r="D18" s="1" t="s">
        <v>58</v>
      </c>
    </row>
    <row r="19">
      <c r="A19" s="3">
        <f>DATEVALUE(LEFT(raw_data!C19,10))
</f>
        <v>46052</v>
      </c>
      <c r="B19" s="1" t="s">
        <v>59</v>
      </c>
      <c r="C19" s="1" t="s">
        <v>60</v>
      </c>
      <c r="D19" s="1" t="s">
        <v>62</v>
      </c>
    </row>
    <row r="20">
      <c r="A20" s="3">
        <f>DATEVALUE(LEFT(raw_data!C20,10))
</f>
        <v>46036</v>
      </c>
      <c r="B20" s="1" t="s">
        <v>63</v>
      </c>
      <c r="C20" s="1" t="s">
        <v>5</v>
      </c>
      <c r="D20" s="1" t="s">
        <v>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hyperlinks>
    <hyperlink r:id="rId3" ref="A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